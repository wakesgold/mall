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40" windowHeight="16720"/>
  </bookViews>
  <sheets>
    <sheet name="“纵合”案例" sheetId="2" r:id="rId1"/>
    <sheet name="“纵合”成员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<sst xmlns="http://schemas.openxmlformats.org/spreadsheetml/2006/main" count="427" uniqueCount="327">
  <si>
    <t>案例名称</t>
  </si>
  <si>
    <t>负责人</t>
  </si>
  <si>
    <t>行业分类</t>
  </si>
  <si>
    <t>案例类型</t>
  </si>
  <si>
    <t>项目背景</t>
  </si>
  <si>
    <t>问题一</t>
  </si>
  <si>
    <t>问题二</t>
  </si>
  <si>
    <t>问题三</t>
  </si>
  <si>
    <t>问题四</t>
  </si>
  <si>
    <t>为什么这么做</t>
  </si>
  <si>
    <t>执行动作一</t>
  </si>
  <si>
    <t>执行动作二</t>
  </si>
  <si>
    <t>执行动作三</t>
  </si>
  <si>
    <t>执行动作四</t>
  </si>
  <si>
    <t>结果一</t>
  </si>
  <si>
    <t>结果二</t>
  </si>
  <si>
    <t>结果三</t>
  </si>
  <si>
    <t>结果四</t>
  </si>
  <si>
    <t>封面图</t>
  </si>
  <si>
    <t>播放量案例展示</t>
  </si>
  <si>
    <t>变现案例图</t>
  </si>
  <si>
    <t>培训案例图</t>
  </si>
  <si>
    <t>主页链接</t>
  </si>
  <si>
    <t>乌海稻草人内衣店（连锁）</t>
  </si>
  <si>
    <t>张张,刘天</t>
  </si>
  <si>
    <t>服饰</t>
  </si>
  <si>
    <t>代运营</t>
  </si>
  <si>
    <t>连锁内衣店，没有线上运营过</t>
  </si>
  <si>
    <t>不会做抖音</t>
  </si>
  <si>
    <t>不明白线上变现</t>
  </si>
  <si>
    <t>需要线上变现</t>
  </si>
  <si>
    <t>培训全员学会短视频和直播</t>
  </si>
  <si>
    <t>代运营启动账号</t>
  </si>
  <si>
    <t>制定店长视频和直播计划</t>
  </si>
  <si>
    <t>搭建员工矩阵视频拍剪及直播一个月职人线上变现3.8w+</t>
  </si>
  <si>
    <t>两个月线上销量12.6w+核销量11.2w+显著提升</t>
  </si>
  <si>
    <t>各位职人线上直播数据均在1500-3000之间</t>
  </si>
  <si>
    <t>IMG_8131 2.jpg</t>
  </si>
  <si>
    <t>IMG_0306.JPEG,IMG_0306.JPEG,WechatIMG8532.jpg</t>
  </si>
  <si>
    <t>IMG_0305.JPEG,IMG_0303.JPEG,IMG_0304.JPEG,IMG_0302.JPEG,IMG_5119.JPEG,WechatIMG8534.jpg,WechatIMG8536.jpg,WechatIMG8535.jpg,WechatIMG8533.jpg</t>
  </si>
  <si>
    <t>心动健身（已交付）</t>
  </si>
  <si>
    <t>健身</t>
  </si>
  <si>
    <t>健身房头部，运营前线上客流较少</t>
  </si>
  <si>
    <t>没有大量线上变现</t>
  </si>
  <si>
    <t>没有稳定输出人设视频</t>
  </si>
  <si>
    <t>增强人设，增加本地认可度</t>
  </si>
  <si>
    <t>拍摄人设视频</t>
  </si>
  <si>
    <t>做直播专场</t>
  </si>
  <si>
    <t xml:space="preserve">运营一个月搭建直播首场直播直接2.7w+ </t>
  </si>
  <si>
    <t>四场直播4.5w+</t>
  </si>
  <si>
    <t>二次合作新店开业启动前五条播放量均1.5w</t>
  </si>
  <si>
    <t>团购活动10.28-10.31号线上销量共计3.6w+</t>
  </si>
  <si>
    <t>截屏 2025-07-09 23.50.49.jpeg</t>
  </si>
  <si>
    <t>IMG_0301.PNG</t>
  </si>
  <si>
    <t>IMG_0308.PNG,IMG_0307.PNG,IMG_0309.JPEG,WechatIMG8538.jpg,WechatIMG8539.jpg</t>
  </si>
  <si>
    <t>茜媛医美（已交付）</t>
  </si>
  <si>
    <t>本地服务</t>
  </si>
  <si>
    <t>运营前做线上违规问题严重</t>
  </si>
  <si>
    <t>行业违禁词太多</t>
  </si>
  <si>
    <t>不会线上引流</t>
  </si>
  <si>
    <t>增加线上引流</t>
  </si>
  <si>
    <t>拍人设视频引流线下</t>
  </si>
  <si>
    <t>个人IP起号第一条视频引爆 吸引客资4人</t>
  </si>
  <si>
    <t>后续运营一个月客资二十几人转化率也达到了80%</t>
  </si>
  <si>
    <t>IMG_1100.JPEG</t>
  </si>
  <si>
    <t>IMG_1097.JPEG,IMG_1098.JPEG</t>
  </si>
  <si>
    <t>白凤健身（已交付）</t>
  </si>
  <si>
    <t>新店启动</t>
  </si>
  <si>
    <t>运营前线上有违规，新店即将开业</t>
  </si>
  <si>
    <t>没做过线上</t>
  </si>
  <si>
    <t>没有线上销量</t>
  </si>
  <si>
    <t>新店开业通过线上进行宣传</t>
  </si>
  <si>
    <t>装修期间预热</t>
  </si>
  <si>
    <t>定期直播预告进度</t>
  </si>
  <si>
    <t>线下广告的钱花到线上</t>
  </si>
  <si>
    <t>装修到开业阶段，每天视频播放量均在1W+</t>
  </si>
  <si>
    <t>账号启动7天，预售金额2万+</t>
  </si>
  <si>
    <t>当月成交金额30万+六天核销金额10万+</t>
  </si>
  <si>
    <t>IMG_1111.JPEG</t>
  </si>
  <si>
    <t>IMG_1103.PNG</t>
  </si>
  <si>
    <t>IMG_1104.PNG,IMG_1105.PNG,IMG_1108.PNG,IMG_1107.PNG,IMG_1106.PNG</t>
  </si>
  <si>
    <t>东胜悦己中意针织（连锁）</t>
  </si>
  <si>
    <t>运营前没有线上运营过，没有线上获客</t>
  </si>
  <si>
    <t>不懂线上</t>
  </si>
  <si>
    <t>不会抖音销售团购</t>
  </si>
  <si>
    <t>增加销售渠道扩大营业额</t>
  </si>
  <si>
    <t>培训店长做矩阵账号</t>
  </si>
  <si>
    <t>代运营起号度过冷启动期</t>
  </si>
  <si>
    <t>挂连锁5个月线上销量37w+ 核销20w+</t>
  </si>
  <si>
    <t>员工矩阵26人5个月成交金额达25w+ 核销13.6w+</t>
  </si>
  <si>
    <t>员工矩阵三个月线上直播成交17w+</t>
  </si>
  <si>
    <t>直播现在平均每场成交2000+ 优秀主播达6000+</t>
  </si>
  <si>
    <t>IMG_1149.PNG</t>
  </si>
  <si>
    <t>IMG_0323.JPEG,IMG_0317.JPEG,IMG_0319.JPEG,IMG_0318.JPEG,IMG_0312.JPEG,IMG_0311.JPEG</t>
  </si>
  <si>
    <t>IMG_0321.JPEG,IMG_0322.JPEG,IMG_0320.JPEG,IMG_0316.JPEG,IMG_0313.JPEG,IMG_0315.JPEG,IMG_0314.JPEG</t>
  </si>
  <si>
    <t>东胜悦己中意化妆（连锁）</t>
  </si>
  <si>
    <t>刘天,张张</t>
  </si>
  <si>
    <t>化妆品</t>
  </si>
  <si>
    <t>运营五个月销售金额共计29.8W+ 核销金额19W+</t>
  </si>
  <si>
    <t>新店开业直播两场成交金额达4.7W+ 达到全国品牌专卖榜97名</t>
  </si>
  <si>
    <t>员工视频直播累计成交18.8W+  直播场均1500-2000</t>
  </si>
  <si>
    <t>截屏 2025-07-10 00.26.11.jpeg</t>
  </si>
  <si>
    <t>WechatIMG8618.jpg,WechatIMG8614.jpg,WechatIMG8619.jpg</t>
  </si>
  <si>
    <t>IMG_2081.JPEG,IMG_2082.JPEG,IMG_2084.JPEG,IMG_2083.JPEG,WechatIMG8612.jpg,WechatIMG8611.jpg,WechatIMG8613.jpg</t>
  </si>
  <si>
    <t>f49b92cd120ec33e3efe92ac3960744e.JPEG,40126fd3d300297f69094d1cb3a356a5.JPEG,710e215a65a2016ef5b35fc4f9051650.JPEG,8fb1cfee7b26530d3385333cf46186fb.JPEG</t>
  </si>
  <si>
    <t>川小厨麻辣香锅（已交付）</t>
  </si>
  <si>
    <t>张张</t>
  </si>
  <si>
    <t>餐饮</t>
  </si>
  <si>
    <t>运营前账号流量不稳定</t>
  </si>
  <si>
    <t>视频流量不稳定</t>
  </si>
  <si>
    <t>变现效率不高</t>
  </si>
  <si>
    <t>增强变现</t>
  </si>
  <si>
    <t>做人设视频增强本地客户认可</t>
  </si>
  <si>
    <t>做专场直播做新店开业团购</t>
  </si>
  <si>
    <t>二次合作仅一周，四条视频播放量13.7w+</t>
  </si>
  <si>
    <t xml:space="preserve">十天线上营业额从3.3w+翻了几乎3倍8.6w+ </t>
  </si>
  <si>
    <t>单条人设视频最高播放量8.9w+变现6588元</t>
  </si>
  <si>
    <t>截屏 2025-07-10 00.01.25.jpeg</t>
  </si>
  <si>
    <t>WechatIMG8563.jpg,WechatIMG8559.jpg,WechatIMG8562.jpg,WechatIMG8564.jpg,WechatIMG8560.jpg</t>
  </si>
  <si>
    <t>初露牧场</t>
  </si>
  <si>
    <t>零食</t>
  </si>
  <si>
    <t>连锁店，运营前没有做矩阵，没有流量变现最大化</t>
  </si>
  <si>
    <t>想让店长都学会怎么做线上</t>
  </si>
  <si>
    <t>稳定输出内容</t>
  </si>
  <si>
    <t>增强个人线上变现能力</t>
  </si>
  <si>
    <t>培训短视频和直播搭建店长矩阵账号</t>
  </si>
  <si>
    <t>每月出执行计划，手把手教学</t>
  </si>
  <si>
    <t>主账号启动三条视频10w+播放量变现7000+</t>
  </si>
  <si>
    <t>线上销量37w+核销32w+ 较上一周期增长34%</t>
  </si>
  <si>
    <t>成交券数26425 核销22529较上一周期增长54%</t>
  </si>
  <si>
    <t>IMG_0334.JPEG</t>
  </si>
  <si>
    <t>IMG_0333.JPEG,IMG_0331.JPEG,IMG_0332.JPEG</t>
  </si>
  <si>
    <t>IMG_0336.JPEG</t>
  </si>
  <si>
    <t>IMG_0338.JPEG,IMG_0339.JPEG,IMG_0337.JPEG,IMG_0329.JPEG,IMG_0328.JPEG,IMG_0327.JPEG,IMG_0330.JPEG,IMG_0326.JPEG</t>
  </si>
  <si>
    <t>阿琪格传统涮</t>
  </si>
  <si>
    <t>运营前新店开业，线上打好地基</t>
  </si>
  <si>
    <t>新店开业需要大量曝光</t>
  </si>
  <si>
    <t>迅速打爆这家店</t>
  </si>
  <si>
    <t>开业前视频预热，下钩子</t>
  </si>
  <si>
    <t>开业设计强力货盘直播锁客</t>
  </si>
  <si>
    <t>装修期间拍摄进度视频种草 0粉起号播放量几乎条条过万</t>
  </si>
  <si>
    <t>(从11号试营业至17号开业日)      总线上销售额： 23万+</t>
  </si>
  <si>
    <t xml:space="preserve">直播线上销售额： 13万+ </t>
  </si>
  <si>
    <t>开业后日均核销金额： 稳定在 8000元+</t>
  </si>
  <si>
    <t>IMG_6728.PNG</t>
  </si>
  <si>
    <t>IMG_6730.JPEG,IMG_6729.JPEG</t>
  </si>
  <si>
    <t>IMG_6679.JPEG,IMG_6680.JPEG,IMG_6678.JPEG,IMG_6683.PNG,IMG_6684.PNG,IMG_6675.PNG,IMG_6687.PNG</t>
  </si>
  <si>
    <t>杨三姐猪蹄火锅（已交付）</t>
  </si>
  <si>
    <t>运营前新店刚装修完毕</t>
  </si>
  <si>
    <t>不会线上变现</t>
  </si>
  <si>
    <t>增加线上销售渠道</t>
  </si>
  <si>
    <t>运营后第一个月销售额128313</t>
  </si>
  <si>
    <t>乌达美食热销榜第一</t>
  </si>
  <si>
    <t>累计曝光77万次，累计变现366350元</t>
  </si>
  <si>
    <t>截屏 2025-07-10 00.20.45.jpeg</t>
  </si>
  <si>
    <t>IMG_0096.JPEG,IMG_0097.JPEG</t>
  </si>
  <si>
    <t>WechatIMG8601.jpg,WechatIMG8605.jpg,WechatIMG8599.jpg</t>
  </si>
  <si>
    <t>阿阳宫牛肉面</t>
  </si>
  <si>
    <t>没有线上宣传过</t>
  </si>
  <si>
    <t>增加线上宣传</t>
  </si>
  <si>
    <t>拍摄易变现的团购视频，加快传播效率</t>
  </si>
  <si>
    <t>阿阳宫团购单品销量破万</t>
  </si>
  <si>
    <t>甘肃临夏分店销量过万</t>
  </si>
  <si>
    <t>乌海首家线上销量破万的面馆</t>
  </si>
  <si>
    <t>IMG_1121.JPEG</t>
  </si>
  <si>
    <t>5a7a2120d1ddb9352f08bde6b73a234b.JPEG,IMG_1115.JPEG,IMG_1113.JPEG,IMG_1114.JPEG</t>
  </si>
  <si>
    <t>羊小憨蒙式涮肉（已交付）</t>
  </si>
  <si>
    <t>妮子,黑子</t>
  </si>
  <si>
    <t>运营前没有内容持续输出</t>
  </si>
  <si>
    <t>转做蒙式涮肉没线上推广</t>
  </si>
  <si>
    <t>拍摄原产地羊肉视频增强产品信任</t>
  </si>
  <si>
    <t>设计墙复购的团购</t>
  </si>
  <si>
    <t>做了十天，成交金额达2.6w+</t>
  </si>
  <si>
    <t>mmexport1762074180640.jpg</t>
  </si>
  <si>
    <t>mmexport1756605102050.jpg</t>
  </si>
  <si>
    <t>mmexport1756604432086.jpg</t>
  </si>
  <si>
    <t>808民谣集（已交付）</t>
  </si>
  <si>
    <t>酒吧</t>
  </si>
  <si>
    <t>市场竞争强，需要做线上</t>
  </si>
  <si>
    <t>线上增加销量</t>
  </si>
  <si>
    <t>只做人设视频增强本地信任感</t>
  </si>
  <si>
    <t>直播售卖性价比超高团购引流</t>
  </si>
  <si>
    <t>运营前15天销售金额1.5W</t>
  </si>
  <si>
    <t>首条人设视频抖音加视频号播放量达10W 15天曝光量达20W+</t>
  </si>
  <si>
    <t>截屏 2025-07-10 00.06.54.jpeg</t>
  </si>
  <si>
    <t>WechatIMG8566.jpg,WechatIMG8569.jpg</t>
  </si>
  <si>
    <t>WechatIMG8568 1.jpg</t>
  </si>
  <si>
    <t>回头客地摊烤肉（已交付）</t>
  </si>
  <si>
    <t>刘天</t>
  </si>
  <si>
    <t>新店即将开业需要曝光</t>
  </si>
  <si>
    <t>开业当天想打爆这家新店</t>
  </si>
  <si>
    <t>运营一个半月销售量共计21W+</t>
  </si>
  <si>
    <t>视频播放次数52W+</t>
  </si>
  <si>
    <t>平均每条视频流量过万 多个榜单登顶第一</t>
  </si>
  <si>
    <t>职人通过指导单条视频播放量3W+ 销售金额2K+</t>
  </si>
  <si>
    <t>截屏 2025-07-10 00.13.50.jpeg</t>
  </si>
  <si>
    <t>WechatIMG8588.jpg,WechatIMG8589.jpg</t>
  </si>
  <si>
    <t>WechatIMG8596.jpg,WechatIMG8590.jpg,WechatIMG8586.jpg</t>
  </si>
  <si>
    <t>WechatIMG8591.jpg,WechatIMG8587.jpg</t>
  </si>
  <si>
    <t>张磊特色黄河鱼（已交付）</t>
  </si>
  <si>
    <t>运营前66条视频播放量2.3w</t>
  </si>
  <si>
    <t>坚持做线上发作品2000+让乌海人一吃黄河鱼就能想到张磊黄河鱼、地方菜好评榜第一名</t>
  </si>
  <si>
    <t>运营后66条视频播放量17w</t>
  </si>
  <si>
    <t>IMG_1135.JPEG</t>
  </si>
  <si>
    <t>IMG_1147.JPEG,IMG_1145.JPEG,IMG_1146.JPEG,IMG_1143.JPEG</t>
  </si>
  <si>
    <t>恒森牛羊肉专营店（已交付）</t>
  </si>
  <si>
    <t>生鲜</t>
  </si>
  <si>
    <t>前3条视频发布播放量共计10W+</t>
  </si>
  <si>
    <t>拍摄素材发布播放量共计6.5W+</t>
  </si>
  <si>
    <t>IMG_2095.JPEG,IMG_2094.JPEG</t>
  </si>
  <si>
    <t>IMG_2091.JPEG,9adfad2b9d86e7d7f863ea0b2241a9b7.JPEG,5535a118eff304eeb4bdbaa370467563.JPEG</t>
  </si>
  <si>
    <t>可汗印象</t>
  </si>
  <si>
    <t>李诚杰</t>
  </si>
  <si>
    <t>可汗印象3条起号视频目前累计9.5w次播放</t>
  </si>
  <si>
    <t>前10条目前累计播放约14万次</t>
  </si>
  <si>
    <t>IMG_7572.PNG,IMG_7571.PNG,IMG_7570.PNG</t>
  </si>
  <si>
    <t>张卤堂（滨河店）</t>
  </si>
  <si>
    <t>黑子</t>
  </si>
  <si>
    <t>运营前没有线上运营过，新店启动</t>
  </si>
  <si>
    <t>开业首场直播1万+（2个月线上曝光561540）</t>
  </si>
  <si>
    <t>2个月线上销售总金额13万+核销率达百分之70</t>
  </si>
  <si>
    <t>单条视频播放破3万+单条成交2850</t>
  </si>
  <si>
    <t>6天线上突破1000单-17天突破2013单</t>
  </si>
  <si>
    <t>54ae887ef80d8e0a995963e13412f1c3.JPEG,IMG_0555.JPEG,IMG_0556.JPEG</t>
  </si>
  <si>
    <t>216f2a6a90c40079f0ad74ca1b1a9e2e.JPEG,IMG_0556.JPEG</t>
  </si>
  <si>
    <t>b56810cf21ca43ac4ae6d065caa52f80.JPEG,54ae887ef80d8e0a995963e13412f1c3.JPEG,12c688a2a37c88e3d2412fd0236cbf42.JPEG,63358fc3b9dc0e29eb8a12664c5e9392.JPEG</t>
  </si>
  <si>
    <t>悦星潮玩娱乐（已交付）</t>
  </si>
  <si>
    <t>娱乐</t>
  </si>
  <si>
    <t>首场直播销售金额1.01万。预售期间销售额19.9万元</t>
  </si>
  <si>
    <t>19条视频，累计播放31.7万次</t>
  </si>
  <si>
    <t>IMG_9957.PNG,IMG_9958.PNG,IMG_9959.PNG,IMG_7576.jpg,IMG_7574.jpg</t>
  </si>
  <si>
    <t>今朝餐饮</t>
  </si>
  <si>
    <t>0粉新账号起号第一条视频播放4万+销售团购235单</t>
  </si>
  <si>
    <t>连续7天平均线上销售1-2万+</t>
  </si>
  <si>
    <t>4天线上达到915单成交近7万</t>
  </si>
  <si>
    <t>IMG_0565.JPEG</t>
  </si>
  <si>
    <t>IMG_0566.JPEG</t>
  </si>
  <si>
    <t>97cad49d25addc3f0cbd68a02ad709ee.JPEG,IMG_0568.JPEG,5604dc869a16ae3af11e017d4f260d33.JPEG</t>
  </si>
  <si>
    <t>老地芳烧烤（钻石广场店）</t>
  </si>
  <si>
    <t>郭治强</t>
  </si>
  <si>
    <t>运营前没有线上运营过，没有内容持续输出</t>
  </si>
  <si>
    <t>开始运营3月份（3月14-4月14日）数据仅销售2000元</t>
  </si>
  <si>
    <t>运营后第一个月（4月14-5月14）销售额37864</t>
  </si>
  <si>
    <t>总播放量105w，最高播放量11万</t>
  </si>
  <si>
    <t>截屏 2025-07-09 23.56.53.jpeg</t>
  </si>
  <si>
    <t>WechatIMG8544.jpg</t>
  </si>
  <si>
    <t>WechatIMG8543.jpg,WechatIMG8542.jpg</t>
  </si>
  <si>
    <t>俊杰农家菜（已交付）</t>
  </si>
  <si>
    <t>5年4月11到25年5月17运营时间。销售额26523，相比上月提升7708%</t>
  </si>
  <si>
    <t>单条视频最高播放5.1万次</t>
  </si>
  <si>
    <t>单月累计曝光31万次。制定前三条视频均过万。</t>
  </si>
  <si>
    <t>截屏 2025-07-10 00.28.49.jpeg</t>
  </si>
  <si>
    <t>WechatIMG8624.jpg</t>
  </si>
  <si>
    <t>WechatIMG8625.jpg,WechatIMG8626.jpg</t>
  </si>
  <si>
    <t>新动力生活馆（已交付）</t>
  </si>
  <si>
    <t>店内运营人员经过培训，最高播放量大6.6万次</t>
  </si>
  <si>
    <t>两天直播累计销量1.1W。店铺累计销量2000+</t>
  </si>
  <si>
    <t>截屏 2025-07-10 00.41.55.jpeg</t>
  </si>
  <si>
    <t>WechatIMG8638.jpg</t>
  </si>
  <si>
    <t>WechatIMG8640.jpg,WechatIMG8641.jpg,WechatIMG8639.jpg</t>
  </si>
  <si>
    <t>乌海苏西蒙</t>
  </si>
  <si>
    <t>wakes</t>
  </si>
  <si>
    <t>烘焙</t>
  </si>
  <si>
    <t xml:space="preserve">第三条作品播放过万  成交3000+   </t>
  </si>
  <si>
    <t>油旋等视频播放量20w+ 出单3000+</t>
  </si>
  <si>
    <t xml:space="preserve">粽子视频播放10w+   成交1w+ </t>
  </si>
  <si>
    <t>奶皮子蛋糕播放20w+ 成交3w+</t>
  </si>
  <si>
    <t>IMG_1128.JPEG</t>
  </si>
  <si>
    <t>315f0b3be67ad14bf4309d2cc3536f43.JPG</t>
  </si>
  <si>
    <t>e5e391b24a872e4bfa7fc8eff1323fc5.JPEG,533a201dfb160ab3a41b29d8924bd9c0.JPEG</t>
  </si>
  <si>
    <t>森歌集成灶总部</t>
  </si>
  <si>
    <t>厨具</t>
  </si>
  <si>
    <t>代运营4个月，涨粉50w+，视频播放量过亿</t>
  </si>
  <si>
    <t>IMG_8158.jpg</t>
  </si>
  <si>
    <t>WechatIMG161.jpg</t>
  </si>
  <si>
    <t>三生集团旗下“主牌”饮品</t>
  </si>
  <si>
    <t>饮品</t>
  </si>
  <si>
    <t>代运营三个月，涨粉6w</t>
  </si>
  <si>
    <t>爆款视频产出6条，爆款平均播放量千万</t>
  </si>
  <si>
    <t>IMG_8159.jpg</t>
  </si>
  <si>
    <t>WechatIMG166.jpg</t>
  </si>
  <si>
    <t>小明先生</t>
  </si>
  <si>
    <t>个人</t>
  </si>
  <si>
    <t>出的账号策划</t>
  </si>
  <si>
    <t>23年2月份提供账号策划及选题方向，期间辅助指导小明先生账号产出数条爆款视频</t>
  </si>
  <si>
    <t>IMG_8163.jpg</t>
  </si>
  <si>
    <t>WechatIMG2051.jpg</t>
  </si>
  <si>
    <t>宁波欧琳定制家居</t>
  </si>
  <si>
    <t>家居</t>
  </si>
  <si>
    <t>代运营半年，涨粉7w，视频平均播放过百万</t>
  </si>
  <si>
    <t>IMG_8162.jpg</t>
  </si>
  <si>
    <t>WechatIMG168.jpg</t>
  </si>
  <si>
    <t>宁波“南洋大师傅”“椰不二”总部</t>
  </si>
  <si>
    <t>配合线上招商加盟</t>
  </si>
  <si>
    <t>广高片制作、信息流视频拍摄</t>
  </si>
  <si>
    <t>0f421079c5bbbc631e5a7560b18bb4f0.JPG,10241752114994_.pic.jpg</t>
  </si>
  <si>
    <t>WechatIMG163.jpg,WechatIMG162.jpg</t>
  </si>
  <si>
    <t>核心成员</t>
  </si>
  <si>
    <t>照片</t>
  </si>
  <si>
    <t>个人简介</t>
  </si>
  <si>
    <t>田梦超</t>
  </si>
  <si>
    <t>IMG_8148.JPG</t>
  </si>
  <si>
    <t>私域变现领域，营销策划专长，擅长团队管理，各项目资源对接，项目执行落地等商业化管理项目</t>
  </si>
  <si>
    <t>朱文璟</t>
  </si>
  <si>
    <t>IMG_8154.JPG</t>
  </si>
  <si>
    <t>项目操盘手，公域流量天花板，孵化各类型ip账号粉丝矩阵高达3000万+，累计线上操盘项目变现超千万，赋能企业营业额线上销售过亿，专注流量赋能变现，ip孵化，各行业流量变现培训等</t>
  </si>
  <si>
    <t>肖嫚倩</t>
  </si>
  <si>
    <t>IMG_8152.jpg</t>
  </si>
  <si>
    <t>擅长编导账号视频脚本，绘制拍摄分镜头脚本，爆款文案设计，爆款内容设计，对接变现资源，项目管理优化等</t>
  </si>
  <si>
    <t>六天</t>
  </si>
  <si>
    <t>IMG_8153.jpg</t>
  </si>
  <si>
    <t>短视频流量培训，IP项目负责人，专职孵化个人IP账号、老板单条创业/成长/十年故事IP，擅长做爆款个人人设；脚本设计、幕后策划、IP人设视频剪辑等</t>
  </si>
  <si>
    <t>IMG_8149.jpg</t>
  </si>
  <si>
    <t>直播培训，运营项目负责人，项目策划专员、企业账号店铺账号流量手，擅长快速启动账号，个人IP孵化、人设IP设计拍剪；文案编辑、方案策划、提供热点拍摄计划等</t>
  </si>
  <si>
    <t>刚子（已离职）</t>
  </si>
  <si>
    <t>IMG_8150.jpg</t>
  </si>
  <si>
    <t>运营项目负责人，项目策划专员、企业账号店铺账号流量手，擅长快速启动账号，个人IP孵化、人设IP设计拍剪；文案编辑、方案策划、提供热点拍摄计划等（已离职）</t>
  </si>
  <si>
    <t>黑子（已离职）</t>
  </si>
  <si>
    <t>IMG_8151.jpg</t>
  </si>
  <si>
    <t>账号孵化短视频拍剪</t>
  </si>
  <si>
    <t>妮子</t>
  </si>
  <si>
    <t>mmexport1752110947250.jpg</t>
  </si>
  <si>
    <t>运营专员，擅长实体商家全案运营，线上代运营，创意视频拍摄、账号孵化等</t>
  </si>
  <si>
    <t>栗子</t>
  </si>
  <si>
    <t>mmexport1752111317476.jpg</t>
  </si>
  <si>
    <t>银角</t>
  </si>
  <si>
    <t>1768463614403.jpeg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</si>
</sst>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-简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E7F8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zoomScale="58" zoomScaleNormal="58" topLeftCell="A7" workbookViewId="0">
      <selection activeCell="F16" sqref="F16"/>
    </sheetView>
  </sheetViews>
  <sheetFormatPr defaultColWidth="9.64285714285714" defaultRowHeight="16.8"/>
  <cols>
    <col min="1" max="1" width="32.4910714285714" customWidth="1"/>
    <col min="2" max="2" width="29.9821428571429" customWidth="1"/>
    <col min="3" max="3" width="21.0625" customWidth="1"/>
    <col min="4" max="4" width="19.5625" customWidth="1"/>
    <col min="5" max="5" width="52.5446428571429" customWidth="1"/>
    <col min="6" max="6" width="19.7232142857143" customWidth="1"/>
    <col min="7" max="7" width="23.4017857142857" customWidth="1"/>
    <col min="8" max="8" width="24.9017857142857" customWidth="1"/>
    <col min="9" max="9" width="22.4017857142857" customWidth="1"/>
    <col min="10" max="11" width="21.1785714285714" customWidth="1"/>
    <col min="12" max="12" width="19.8303571428571" customWidth="1"/>
    <col min="13" max="13" width="20.8660714285714" customWidth="1"/>
    <col min="14" max="14" width="25.4196428571429" customWidth="1"/>
    <col min="15" max="15" width="47.9732142857143" customWidth="1"/>
    <col min="16" max="16" width="52.6875" customWidth="1"/>
    <col min="17" max="17" width="51.8125" customWidth="1"/>
    <col min="18" max="18" width="60.4464285714286" customWidth="1"/>
    <col min="19" max="19" width="37.7767857142857" customWidth="1"/>
    <col min="20" max="20" width="41.6696428571429" customWidth="1"/>
    <col min="21" max="21" width="59.2857142857143" customWidth="1"/>
    <col min="22" max="22" width="76.2232142857143" customWidth="1"/>
    <col min="23" max="23" width="19" customWidth="1"/>
  </cols>
  <sheetData>
    <row r="1" ht="46" customHeight="1" spans="1:2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</row>
    <row r="2" ht="51" customHeight="1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J2" t="s">
        <v>30</v>
      </c>
      <c r="K2" t="s">
        <v>31</v>
      </c>
      <c r="L2" t="s">
        <v>32</v>
      </c>
      <c r="M2" t="s">
        <v>33</v>
      </c>
      <c r="O2" t="s">
        <v>34</v>
      </c>
      <c r="P2" t="s">
        <v>35</v>
      </c>
      <c r="Q2" t="s">
        <v>36</v>
      </c>
      <c r="S2" t="s">
        <v>37</v>
      </c>
      <c r="U2" t="s">
        <v>38</v>
      </c>
      <c r="V2" t="s">
        <v>39</v>
      </c>
      <c r="W2" s="3" t="str">
        <f>HYPERLINK("https://v.douyin.com/8-S7C246Pz4/ 1@8.com","https://v.douyin.com/8-S7C246Pz4/ 1@8.com")</f>
        <v>https://v.douyin.com/8-S7C246Pz4/ 1@8.com</v>
      </c>
    </row>
    <row r="3" ht="51" customHeight="1" spans="1:23">
      <c r="A3" t="s">
        <v>40</v>
      </c>
      <c r="B3" t="s">
        <v>24</v>
      </c>
      <c r="C3" t="s">
        <v>41</v>
      </c>
      <c r="D3" t="s">
        <v>26</v>
      </c>
      <c r="E3" t="s">
        <v>42</v>
      </c>
      <c r="F3" t="s">
        <v>43</v>
      </c>
      <c r="G3" t="s">
        <v>44</v>
      </c>
      <c r="J3" t="s">
        <v>45</v>
      </c>
      <c r="K3" t="s">
        <v>46</v>
      </c>
      <c r="L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W3" s="3" t="str">
        <f>HYPERLINK("https://v.douyin.com/hTaItAKBYpM/ 2@3.com","https://v.douyin.com/hTaItAKBYpM/ 2@3.com")</f>
        <v>https://v.douyin.com/hTaItAKBYpM/ 2@3.com</v>
      </c>
    </row>
    <row r="4" ht="51" customHeight="1" spans="1:23">
      <c r="A4" t="s">
        <v>55</v>
      </c>
      <c r="B4" t="s">
        <v>24</v>
      </c>
      <c r="C4" t="s">
        <v>56</v>
      </c>
      <c r="D4" t="s">
        <v>26</v>
      </c>
      <c r="E4" t="s">
        <v>57</v>
      </c>
      <c r="F4" t="s">
        <v>58</v>
      </c>
      <c r="G4" t="s">
        <v>59</v>
      </c>
      <c r="J4" t="s">
        <v>60</v>
      </c>
      <c r="K4" t="s">
        <v>61</v>
      </c>
      <c r="O4" t="s">
        <v>62</v>
      </c>
      <c r="P4" t="s">
        <v>63</v>
      </c>
      <c r="S4" t="s">
        <v>64</v>
      </c>
      <c r="U4" t="s">
        <v>65</v>
      </c>
      <c r="W4" s="3" t="str">
        <f>HYPERLINK("https://v.douyin.com/w0vMBlsqAuY/ 3@9.com :9pm","https://v.douyin.com/w0vMBlsqAuY/ 3@9.com :9pm")</f>
        <v>https://v.douyin.com/w0vMBlsqAuY/ 3@9.com :9pm</v>
      </c>
    </row>
    <row r="5" ht="51" customHeight="1" spans="1:23">
      <c r="A5" t="s">
        <v>66</v>
      </c>
      <c r="B5" t="s">
        <v>24</v>
      </c>
      <c r="C5" t="s">
        <v>41</v>
      </c>
      <c r="D5" t="s">
        <v>67</v>
      </c>
      <c r="E5" t="s">
        <v>68</v>
      </c>
      <c r="F5" t="s">
        <v>69</v>
      </c>
      <c r="G5" t="s">
        <v>70</v>
      </c>
      <c r="J5" t="s">
        <v>71</v>
      </c>
      <c r="K5" t="s">
        <v>72</v>
      </c>
      <c r="L5" t="s">
        <v>73</v>
      </c>
      <c r="M5" t="s">
        <v>74</v>
      </c>
      <c r="O5" t="s">
        <v>75</v>
      </c>
      <c r="P5" t="s">
        <v>76</v>
      </c>
      <c r="Q5" t="s">
        <v>77</v>
      </c>
      <c r="S5" t="s">
        <v>78</v>
      </c>
      <c r="T5" t="s">
        <v>79</v>
      </c>
      <c r="U5" t="s">
        <v>80</v>
      </c>
      <c r="W5" s="3" t="str">
        <f>HYPERLINK("https://v.douyin.com/X6zJ82ROGMU/ 4@1.com :7pm","https://v.douyin.com/X6zJ82ROGMU/ 4@1.com :7pm")</f>
        <v>https://v.douyin.com/X6zJ82ROGMU/ 4@1.com :7pm</v>
      </c>
    </row>
    <row r="6" ht="51" customHeight="1" spans="1:23">
      <c r="A6" t="s">
        <v>81</v>
      </c>
      <c r="B6" t="s">
        <v>24</v>
      </c>
      <c r="C6" t="s">
        <v>25</v>
      </c>
      <c r="D6" t="s">
        <v>26</v>
      </c>
      <c r="E6" t="s">
        <v>82</v>
      </c>
      <c r="F6" t="s">
        <v>83</v>
      </c>
      <c r="G6" t="s">
        <v>84</v>
      </c>
      <c r="J6" t="s">
        <v>85</v>
      </c>
      <c r="K6" t="s">
        <v>86</v>
      </c>
      <c r="L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U6" t="s">
        <v>93</v>
      </c>
      <c r="V6" t="s">
        <v>94</v>
      </c>
      <c r="W6" s="3" t="str">
        <f>HYPERLINK("https://v.douyin.com/0l0MT2nwJ1M/ 8@1.com :8pm","https://v.douyin.com/0l0MT2nwJ1M/ 8@1.com :8pm")</f>
        <v>https://v.douyin.com/0l0MT2nwJ1M/ 8@1.com :8pm</v>
      </c>
    </row>
    <row r="7" customFormat="1" ht="51" customHeight="1" spans="1:23">
      <c r="A7" t="s">
        <v>95</v>
      </c>
      <c r="B7" t="s">
        <v>96</v>
      </c>
      <c r="C7" t="s">
        <v>97</v>
      </c>
      <c r="D7" t="s">
        <v>26</v>
      </c>
      <c r="E7" t="s">
        <v>82</v>
      </c>
      <c r="F7" t="s">
        <v>83</v>
      </c>
      <c r="G7" t="s">
        <v>84</v>
      </c>
      <c r="J7" t="s">
        <v>85</v>
      </c>
      <c r="K7" t="s">
        <v>86</v>
      </c>
      <c r="L7" t="s">
        <v>87</v>
      </c>
      <c r="O7" t="s">
        <v>98</v>
      </c>
      <c r="P7" t="s">
        <v>99</v>
      </c>
      <c r="Q7" t="s">
        <v>100</v>
      </c>
      <c r="S7" t="s">
        <v>101</v>
      </c>
      <c r="T7" t="s">
        <v>102</v>
      </c>
      <c r="U7" t="s">
        <v>103</v>
      </c>
      <c r="V7" t="s">
        <v>104</v>
      </c>
      <c r="W7" s="3" t="str">
        <f>HYPERLINK("https://v.douyin.com/5yHEOnV5ivE/ 7@3.com","https://v.douyin.com/5yHEOnV5ivE/ 7@3.com")</f>
        <v>https://v.douyin.com/5yHEOnV5ivE/ 7@3.com</v>
      </c>
    </row>
    <row r="8" ht="51" customHeight="1" spans="1:23">
      <c r="A8" t="s">
        <v>105</v>
      </c>
      <c r="B8" t="s">
        <v>106</v>
      </c>
      <c r="C8" t="s">
        <v>107</v>
      </c>
      <c r="D8" t="s">
        <v>26</v>
      </c>
      <c r="E8" t="s">
        <v>108</v>
      </c>
      <c r="F8" t="s">
        <v>109</v>
      </c>
      <c r="G8" t="s">
        <v>110</v>
      </c>
      <c r="J8" t="s">
        <v>111</v>
      </c>
      <c r="K8" t="s">
        <v>112</v>
      </c>
      <c r="L8" t="s">
        <v>113</v>
      </c>
      <c r="O8" t="s">
        <v>114</v>
      </c>
      <c r="P8" t="s">
        <v>115</v>
      </c>
      <c r="Q8" t="s">
        <v>116</v>
      </c>
      <c r="S8" t="s">
        <v>117</v>
      </c>
      <c r="U8" t="s">
        <v>118</v>
      </c>
      <c r="W8" s="3" t="str">
        <f>HYPERLINK("https://v.douyin.com/G7P_iCwguZw/ 9@7.com","https://v.douyin.com/G7P_iCwguZw/ 9@7.com")</f>
        <v>https://v.douyin.com/G7P_iCwguZw/ 9@7.com</v>
      </c>
    </row>
    <row r="9" ht="51" customHeight="1" spans="1:23">
      <c r="A9" t="s">
        <v>119</v>
      </c>
      <c r="B9" t="s">
        <v>106</v>
      </c>
      <c r="C9" t="s">
        <v>120</v>
      </c>
      <c r="D9" t="s">
        <v>26</v>
      </c>
      <c r="E9" t="s">
        <v>121</v>
      </c>
      <c r="F9" t="s">
        <v>122</v>
      </c>
      <c r="G9" t="s">
        <v>123</v>
      </c>
      <c r="J9" t="s">
        <v>124</v>
      </c>
      <c r="K9" t="s">
        <v>125</v>
      </c>
      <c r="L9" t="s">
        <v>126</v>
      </c>
      <c r="O9" t="s">
        <v>127</v>
      </c>
      <c r="P9" t="s">
        <v>128</v>
      </c>
      <c r="Q9" t="s">
        <v>129</v>
      </c>
      <c r="S9" t="s">
        <v>130</v>
      </c>
      <c r="T9" t="s">
        <v>131</v>
      </c>
      <c r="U9" t="s">
        <v>132</v>
      </c>
      <c r="V9" t="s">
        <v>133</v>
      </c>
      <c r="W9" s="3" t="str">
        <f>HYPERLINK("http://3- 长按复制此条消息，打开抖音搜索，查看TA的更多作品。 https://v.douyin.com/ThWzRP88CiQ/ 7@9.com :7pm","https://v.douyin.com/ThWzRP88CiQ/ 7@9.com :7pm")</f>
        <v>https://v.douyin.com/ThWzRP88CiQ/ 7@9.com :7pm</v>
      </c>
    </row>
    <row r="10" ht="51" customHeight="1" spans="1:23">
      <c r="A10" t="s">
        <v>134</v>
      </c>
      <c r="B10" t="s">
        <v>106</v>
      </c>
      <c r="C10" t="s">
        <v>107</v>
      </c>
      <c r="D10" t="s">
        <v>67</v>
      </c>
      <c r="E10" t="s">
        <v>135</v>
      </c>
      <c r="F10" t="s">
        <v>136</v>
      </c>
      <c r="J10" t="s">
        <v>137</v>
      </c>
      <c r="K10" t="s">
        <v>138</v>
      </c>
      <c r="L10" t="s">
        <v>139</v>
      </c>
      <c r="O10" t="s">
        <v>140</v>
      </c>
      <c r="P10" t="s">
        <v>141</v>
      </c>
      <c r="Q10" t="s">
        <v>142</v>
      </c>
      <c r="R10" t="s">
        <v>143</v>
      </c>
      <c r="S10" t="s">
        <v>144</v>
      </c>
      <c r="T10" t="s">
        <v>145</v>
      </c>
      <c r="U10" t="s">
        <v>146</v>
      </c>
      <c r="W10" s="3" t="str">
        <f>HYPERLINK("http://4- 长按复制此条消息，打开抖音搜索，查看TA的更多作品。 https://v.douyin.com/ja_OTz3SBv8/ 2@5.com :3pm","http://4- 长按复制此条消息，打开抖音搜索，查看TA的更多作品。 https://v.douyin.com/ja_OTz3SBv8/ 2@5.com :3pm")</f>
        <v>http://4- 长按复制此条消息，打开抖音搜索，查看TA的更多作品。 https://v.douyin.com/ja_OTz3SBv8/ 2@5.com :3pm</v>
      </c>
    </row>
    <row r="11" ht="51" customHeight="1" spans="1:23">
      <c r="A11" t="s">
        <v>147</v>
      </c>
      <c r="C11" t="s">
        <v>107</v>
      </c>
      <c r="D11" t="s">
        <v>67</v>
      </c>
      <c r="E11" t="s">
        <v>148</v>
      </c>
      <c r="F11" t="s">
        <v>149</v>
      </c>
      <c r="J11" t="s">
        <v>150</v>
      </c>
      <c r="K11" t="s">
        <v>112</v>
      </c>
      <c r="O11" t="s">
        <v>151</v>
      </c>
      <c r="P11" t="s">
        <v>152</v>
      </c>
      <c r="Q11" t="s">
        <v>153</v>
      </c>
      <c r="S11" t="s">
        <v>154</v>
      </c>
      <c r="T11" t="s">
        <v>155</v>
      </c>
      <c r="U11" t="s">
        <v>156</v>
      </c>
      <c r="W11" s="3" t="str">
        <f>HYPERLINK("https://v.douyin.com/VMaajDtD_No/ 9@2.com","https://v.douyin.com/VMaajDtD_No/ 9@2.com")</f>
        <v>https://v.douyin.com/VMaajDtD_No/ 9@2.com</v>
      </c>
    </row>
    <row r="12" ht="51" customHeight="1" spans="1:23">
      <c r="A12" t="s">
        <v>157</v>
      </c>
      <c r="C12" t="s">
        <v>107</v>
      </c>
      <c r="D12" t="s">
        <v>26</v>
      </c>
      <c r="E12" t="s">
        <v>108</v>
      </c>
      <c r="F12" t="s">
        <v>158</v>
      </c>
      <c r="J12" t="s">
        <v>159</v>
      </c>
      <c r="K12" t="s">
        <v>160</v>
      </c>
      <c r="O12" t="s">
        <v>161</v>
      </c>
      <c r="P12" t="s">
        <v>162</v>
      </c>
      <c r="Q12" t="s">
        <v>163</v>
      </c>
      <c r="S12" t="s">
        <v>164</v>
      </c>
      <c r="T12" t="s">
        <v>165</v>
      </c>
      <c r="W12" s="3" t="str">
        <f>HYPERLINK("https://v.douyin.com/klALL0CCZb0/ 1@9.com :3pm","https://v.douyin.com/klALL0CCZb0/ 1@9.com :3pm")</f>
        <v>https://v.douyin.com/klALL0CCZb0/ 1@9.com :3pm</v>
      </c>
    </row>
    <row r="13" ht="51" customHeight="1" spans="1:23">
      <c r="A13" t="s">
        <v>166</v>
      </c>
      <c r="B13" t="s">
        <v>167</v>
      </c>
      <c r="C13" t="s">
        <v>107</v>
      </c>
      <c r="D13" t="s">
        <v>67</v>
      </c>
      <c r="E13" t="s">
        <v>168</v>
      </c>
      <c r="F13" t="s">
        <v>169</v>
      </c>
      <c r="J13" t="s">
        <v>159</v>
      </c>
      <c r="K13" t="s">
        <v>170</v>
      </c>
      <c r="L13" t="s">
        <v>171</v>
      </c>
      <c r="O13" t="s">
        <v>172</v>
      </c>
      <c r="S13" t="s">
        <v>173</v>
      </c>
      <c r="T13" t="s">
        <v>174</v>
      </c>
      <c r="U13" t="s">
        <v>175</v>
      </c>
      <c r="W13" s="3" t="str">
        <f>HYPERLINK("8- 长按复制此条消息，打开抖音搜索，查看TA的更多作品。 https://v.douyin.com/XHeZniSK6h8/ 2@3.com :2pm","8- 长按复制此条消息，打开抖音搜索，查看TA的更多作品。 https://v.douyin.com/XHeZniSK6h8/ 2@3.com :2pm")</f>
        <v>8- 长按复制此条消息，打开抖音搜索，查看TA的更多作品。 https://v.douyin.com/XHeZniSK6h8/ 2@3.com :2pm</v>
      </c>
    </row>
    <row r="14" ht="51" customHeight="1" spans="1:23">
      <c r="A14" t="s">
        <v>176</v>
      </c>
      <c r="B14" t="s">
        <v>96</v>
      </c>
      <c r="C14" t="s">
        <v>177</v>
      </c>
      <c r="D14" t="s">
        <v>26</v>
      </c>
      <c r="E14" t="s">
        <v>168</v>
      </c>
      <c r="F14" t="s">
        <v>178</v>
      </c>
      <c r="J14" t="s">
        <v>179</v>
      </c>
      <c r="K14" t="s">
        <v>180</v>
      </c>
      <c r="L14" t="s">
        <v>181</v>
      </c>
      <c r="O14" t="s">
        <v>182</v>
      </c>
      <c r="P14" t="s">
        <v>183</v>
      </c>
      <c r="S14" t="s">
        <v>184</v>
      </c>
      <c r="T14" t="s">
        <v>185</v>
      </c>
      <c r="U14" t="s">
        <v>186</v>
      </c>
      <c r="W14" s="3" t="str">
        <f>HYPERLINK("https://v.douyin.com/JQchZIopeqY/ 7@8.com","https://v.douyin.com/JQchZIopeqY/ 7@8.com")</f>
        <v>https://v.douyin.com/JQchZIopeqY/ 7@8.com</v>
      </c>
    </row>
    <row r="15" ht="51" customHeight="1" spans="1:23">
      <c r="A15" t="s">
        <v>187</v>
      </c>
      <c r="B15" t="s">
        <v>188</v>
      </c>
      <c r="C15" t="s">
        <v>107</v>
      </c>
      <c r="D15" t="s">
        <v>67</v>
      </c>
      <c r="E15" t="s">
        <v>135</v>
      </c>
      <c r="F15" t="s">
        <v>189</v>
      </c>
      <c r="J15" t="s">
        <v>190</v>
      </c>
      <c r="K15" t="s">
        <v>138</v>
      </c>
      <c r="L15" t="s">
        <v>139</v>
      </c>
      <c r="O15" t="s">
        <v>191</v>
      </c>
      <c r="P15" t="s">
        <v>192</v>
      </c>
      <c r="Q15" t="s">
        <v>193</v>
      </c>
      <c r="R15" t="s">
        <v>194</v>
      </c>
      <c r="S15" t="s">
        <v>195</v>
      </c>
      <c r="T15" t="s">
        <v>196</v>
      </c>
      <c r="U15" t="s">
        <v>197</v>
      </c>
      <c r="V15" t="s">
        <v>198</v>
      </c>
      <c r="W15" s="3" t="str">
        <f>HYPERLINK("https://v.douyin.com/_z8z7ZB4j6Q/ 0@7.com","https://v.douyin.com/_z8z7ZB4j6Q/ 0@7.com")</f>
        <v>https://v.douyin.com/_z8z7ZB4j6Q/ 0@7.com</v>
      </c>
    </row>
    <row r="16" ht="51" customHeight="1" spans="1:23">
      <c r="A16" t="s">
        <v>199</v>
      </c>
      <c r="B16" t="s">
        <v>188</v>
      </c>
      <c r="C16" t="s">
        <v>107</v>
      </c>
      <c r="D16" t="s">
        <v>26</v>
      </c>
      <c r="E16" t="s">
        <v>82</v>
      </c>
      <c r="F16" t="s">
        <v>200</v>
      </c>
      <c r="O16" t="s">
        <v>201</v>
      </c>
      <c r="P16" t="s">
        <v>202</v>
      </c>
      <c r="S16" t="s">
        <v>203</v>
      </c>
      <c r="T16" t="s">
        <v>204</v>
      </c>
      <c r="W16" s="3" t="str">
        <f>HYPERLINK("https://v.douyin.com/PBmSHX6qBLM/ 1@3.com :4pm","https://v.douyin.com/PBmSHX6qBLM/ 1@3.com :4pm")</f>
        <v>https://v.douyin.com/PBmSHX6qBLM/ 1@3.com :4pm</v>
      </c>
    </row>
    <row r="17" ht="51" customHeight="1" spans="1:23">
      <c r="A17" t="s">
        <v>205</v>
      </c>
      <c r="B17" t="s">
        <v>188</v>
      </c>
      <c r="C17" t="s">
        <v>206</v>
      </c>
      <c r="D17" t="s">
        <v>26</v>
      </c>
      <c r="E17" t="s">
        <v>108</v>
      </c>
      <c r="O17" t="s">
        <v>207</v>
      </c>
      <c r="P17" t="s">
        <v>208</v>
      </c>
      <c r="S17" t="s">
        <v>209</v>
      </c>
      <c r="T17" t="s">
        <v>210</v>
      </c>
      <c r="W17" s="3"/>
    </row>
    <row r="18" ht="51" customHeight="1" spans="1:23">
      <c r="A18" t="s">
        <v>211</v>
      </c>
      <c r="B18" t="s">
        <v>212</v>
      </c>
      <c r="C18" t="s">
        <v>107</v>
      </c>
      <c r="D18" t="s">
        <v>26</v>
      </c>
      <c r="E18" t="s">
        <v>168</v>
      </c>
      <c r="O18" t="s">
        <v>213</v>
      </c>
      <c r="P18" t="s">
        <v>214</v>
      </c>
      <c r="S18" t="s">
        <v>215</v>
      </c>
      <c r="W18" s="3"/>
    </row>
    <row r="19" ht="51" customHeight="1" spans="1:23">
      <c r="A19" t="s">
        <v>216</v>
      </c>
      <c r="B19" t="s">
        <v>217</v>
      </c>
      <c r="C19" t="s">
        <v>107</v>
      </c>
      <c r="D19" t="s">
        <v>67</v>
      </c>
      <c r="E19" t="s">
        <v>218</v>
      </c>
      <c r="F19" t="s">
        <v>189</v>
      </c>
      <c r="J19" t="s">
        <v>190</v>
      </c>
      <c r="K19" t="s">
        <v>138</v>
      </c>
      <c r="L19" t="s">
        <v>139</v>
      </c>
      <c r="O19" t="s">
        <v>219</v>
      </c>
      <c r="P19" t="s">
        <v>220</v>
      </c>
      <c r="Q19" t="s">
        <v>221</v>
      </c>
      <c r="R19" t="s">
        <v>222</v>
      </c>
      <c r="S19" t="s">
        <v>223</v>
      </c>
      <c r="T19" t="s">
        <v>224</v>
      </c>
      <c r="U19" t="s">
        <v>225</v>
      </c>
      <c r="W19" s="3"/>
    </row>
    <row r="20" ht="51" customHeight="1" spans="1:23">
      <c r="A20" t="s">
        <v>226</v>
      </c>
      <c r="B20" t="s">
        <v>217</v>
      </c>
      <c r="C20" t="s">
        <v>227</v>
      </c>
      <c r="D20" t="s">
        <v>67</v>
      </c>
      <c r="E20" t="s">
        <v>218</v>
      </c>
      <c r="F20" t="s">
        <v>189</v>
      </c>
      <c r="J20" t="s">
        <v>190</v>
      </c>
      <c r="K20" t="s">
        <v>138</v>
      </c>
      <c r="L20" t="s">
        <v>139</v>
      </c>
      <c r="O20" t="s">
        <v>228</v>
      </c>
      <c r="P20" t="s">
        <v>229</v>
      </c>
      <c r="S20" t="s">
        <v>230</v>
      </c>
      <c r="W20" s="3"/>
    </row>
    <row r="21" ht="51" customHeight="1" spans="1:23">
      <c r="A21" t="s">
        <v>231</v>
      </c>
      <c r="B21" t="s">
        <v>217</v>
      </c>
      <c r="C21" t="s">
        <v>107</v>
      </c>
      <c r="D21" t="s">
        <v>67</v>
      </c>
      <c r="E21" t="s">
        <v>218</v>
      </c>
      <c r="F21" t="s">
        <v>189</v>
      </c>
      <c r="J21" t="s">
        <v>190</v>
      </c>
      <c r="K21" t="s">
        <v>138</v>
      </c>
      <c r="L21" t="s">
        <v>139</v>
      </c>
      <c r="O21" t="s">
        <v>232</v>
      </c>
      <c r="P21" t="s">
        <v>233</v>
      </c>
      <c r="Q21" t="s">
        <v>234</v>
      </c>
      <c r="S21" t="s">
        <v>235</v>
      </c>
      <c r="T21" t="s">
        <v>236</v>
      </c>
      <c r="U21" t="s">
        <v>237</v>
      </c>
      <c r="W21" s="3"/>
    </row>
    <row r="22" ht="51" customHeight="1" spans="1:23">
      <c r="A22" t="s">
        <v>238</v>
      </c>
      <c r="B22" t="s">
        <v>239</v>
      </c>
      <c r="C22" t="s">
        <v>107</v>
      </c>
      <c r="D22" t="s">
        <v>26</v>
      </c>
      <c r="E22" t="s">
        <v>240</v>
      </c>
      <c r="F22" t="s">
        <v>241</v>
      </c>
      <c r="O22" t="s">
        <v>242</v>
      </c>
      <c r="P22" t="s">
        <v>243</v>
      </c>
      <c r="S22" t="s">
        <v>244</v>
      </c>
      <c r="T22" t="s">
        <v>245</v>
      </c>
      <c r="U22" t="s">
        <v>246</v>
      </c>
      <c r="W22" s="3" t="str">
        <f>HYPERLINK("https://v.douyin.com/F0H3vqfJOoc/ 2@2.com","https://v.douyin.com/F0H3vqfJOoc/ 2@2.com")</f>
        <v>https://v.douyin.com/F0H3vqfJOoc/ 2@2.com</v>
      </c>
    </row>
    <row r="23" ht="51" customHeight="1" spans="1:23">
      <c r="A23" t="s">
        <v>247</v>
      </c>
      <c r="B23" t="s">
        <v>239</v>
      </c>
      <c r="C23" t="s">
        <v>107</v>
      </c>
      <c r="D23" t="s">
        <v>26</v>
      </c>
      <c r="E23" t="s">
        <v>168</v>
      </c>
      <c r="O23" t="s">
        <v>248</v>
      </c>
      <c r="P23" t="s">
        <v>249</v>
      </c>
      <c r="Q23" t="s">
        <v>250</v>
      </c>
      <c r="S23" t="s">
        <v>251</v>
      </c>
      <c r="T23" t="s">
        <v>252</v>
      </c>
      <c r="U23" t="s">
        <v>253</v>
      </c>
      <c r="W23" s="3" t="str">
        <f>HYPERLINK("https://v.douyin.com/5yHEOnV5ivE/ 7@3.com","https://v.douyin.com/5yHEOnV5ivE/ 7@3.com")</f>
        <v>https://v.douyin.com/5yHEOnV5ivE/ 7@3.com</v>
      </c>
    </row>
    <row r="24" ht="51" customHeight="1" spans="1:23">
      <c r="A24" t="s">
        <v>254</v>
      </c>
      <c r="B24" t="s">
        <v>239</v>
      </c>
      <c r="C24" t="s">
        <v>107</v>
      </c>
      <c r="D24" t="s">
        <v>26</v>
      </c>
      <c r="E24" t="s">
        <v>168</v>
      </c>
      <c r="O24" t="s">
        <v>255</v>
      </c>
      <c r="P24" t="s">
        <v>256</v>
      </c>
      <c r="S24" t="s">
        <v>257</v>
      </c>
      <c r="T24" t="s">
        <v>258</v>
      </c>
      <c r="U24" t="s">
        <v>259</v>
      </c>
      <c r="W24" s="3" t="str">
        <f>HYPERLINK("https://v.douyin.com/6xfr27y4_Fw/ 1@0.com","https://v.douyin.com/6xfr27y4_Fw/ 1@0.com")</f>
        <v>https://v.douyin.com/6xfr27y4_Fw/ 1@0.com</v>
      </c>
    </row>
    <row r="25" ht="51" customHeight="1" spans="1:23">
      <c r="A25" t="s">
        <v>260</v>
      </c>
      <c r="B25" t="s">
        <v>261</v>
      </c>
      <c r="C25" t="s">
        <v>262</v>
      </c>
      <c r="D25" t="s">
        <v>26</v>
      </c>
      <c r="E25" t="s">
        <v>82</v>
      </c>
      <c r="O25" t="s">
        <v>263</v>
      </c>
      <c r="P25" t="s">
        <v>264</v>
      </c>
      <c r="Q25" t="s">
        <v>265</v>
      </c>
      <c r="R25" t="s">
        <v>266</v>
      </c>
      <c r="S25" t="s">
        <v>267</v>
      </c>
      <c r="T25" t="s">
        <v>268</v>
      </c>
      <c r="U25" t="s">
        <v>269</v>
      </c>
      <c r="W25" s="3" t="str">
        <f>HYPERLINK("https://v.douyin.com/flhTqjVP_1g/ 1@8.com :7pm","https://v.douyin.com/flhTqjVP_1g/ 1@8.com :7pm")</f>
        <v>https://v.douyin.com/flhTqjVP_1g/ 1@8.com :7pm</v>
      </c>
    </row>
    <row r="26" ht="51" customHeight="1" spans="1:23">
      <c r="A26" t="s">
        <v>270</v>
      </c>
      <c r="B26" t="s">
        <v>261</v>
      </c>
      <c r="C26" t="s">
        <v>271</v>
      </c>
      <c r="D26" t="s">
        <v>26</v>
      </c>
      <c r="E26" t="s">
        <v>168</v>
      </c>
      <c r="O26" t="s">
        <v>272</v>
      </c>
      <c r="S26" t="s">
        <v>273</v>
      </c>
      <c r="T26" t="s">
        <v>274</v>
      </c>
      <c r="W26" s="3" t="str">
        <f>HYPERLINK("https://v.douyin.com/y-E31FbyK9w/","https://v.douyin.com/y-E31FbyK9w/4@0.com")</f>
        <v>https://v.douyin.com/y-E31FbyK9w/4@0.com</v>
      </c>
    </row>
    <row r="27" ht="51" customHeight="1" spans="1:23">
      <c r="A27" t="s">
        <v>275</v>
      </c>
      <c r="B27" t="s">
        <v>261</v>
      </c>
      <c r="C27" t="s">
        <v>276</v>
      </c>
      <c r="D27" t="s">
        <v>26</v>
      </c>
      <c r="E27" t="s">
        <v>168</v>
      </c>
      <c r="O27" t="s">
        <v>277</v>
      </c>
      <c r="P27" t="s">
        <v>278</v>
      </c>
      <c r="S27" t="s">
        <v>279</v>
      </c>
      <c r="T27" t="s">
        <v>280</v>
      </c>
      <c r="W27" s="3" t="str">
        <f>HYPERLINK("https://v.douyin.com/rFALh_31J7Y/","https://v.douyin.com/rFALh_31J7Y/8@9.com")</f>
        <v>https://v.douyin.com/rFALh_31J7Y/8@9.com</v>
      </c>
    </row>
    <row r="28" ht="51" customHeight="1" spans="1:23">
      <c r="A28" t="s">
        <v>281</v>
      </c>
      <c r="B28" t="s">
        <v>261</v>
      </c>
      <c r="C28" t="s">
        <v>282</v>
      </c>
      <c r="D28" t="s">
        <v>26</v>
      </c>
      <c r="E28" t="s">
        <v>283</v>
      </c>
      <c r="O28" t="s">
        <v>284</v>
      </c>
      <c r="S28" t="s">
        <v>285</v>
      </c>
      <c r="T28" t="s">
        <v>286</v>
      </c>
      <c r="W28" s="3" t="str">
        <f>HYPERLINK("https://v.douyin.com/MJ9geit5rfQ/","https://v.douyin.com/MJ9geit5rfQ/5@2.com")</f>
        <v>https://v.douyin.com/MJ9geit5rfQ/5@2.com</v>
      </c>
    </row>
    <row r="29" ht="51" customHeight="1" spans="1:23">
      <c r="A29" t="s">
        <v>287</v>
      </c>
      <c r="B29" t="s">
        <v>261</v>
      </c>
      <c r="C29" t="s">
        <v>288</v>
      </c>
      <c r="D29" t="s">
        <v>26</v>
      </c>
      <c r="E29" t="s">
        <v>168</v>
      </c>
      <c r="O29" t="s">
        <v>289</v>
      </c>
      <c r="S29" t="s">
        <v>290</v>
      </c>
      <c r="T29" t="s">
        <v>291</v>
      </c>
      <c r="W29" s="3" t="str">
        <f>HYPERLINK("https://v.douyin.com/hkKAn3LdzqE/","https://v.douyin.com/hkKAn3LdzqE/8@5.com")</f>
        <v>https://v.douyin.com/hkKAn3LdzqE/8@5.com</v>
      </c>
    </row>
    <row r="30" ht="51" customHeight="1" spans="1:23">
      <c r="A30" t="s">
        <v>292</v>
      </c>
      <c r="B30" t="s">
        <v>261</v>
      </c>
      <c r="C30" t="s">
        <v>276</v>
      </c>
      <c r="D30" t="s">
        <v>26</v>
      </c>
      <c r="E30" t="s">
        <v>168</v>
      </c>
      <c r="O30" t="s">
        <v>293</v>
      </c>
      <c r="P30" t="s">
        <v>294</v>
      </c>
      <c r="S30" t="s">
        <v>295</v>
      </c>
      <c r="T30" t="s">
        <v>296</v>
      </c>
      <c r="W30" s="3" t="str">
        <f>HYPERLINK("https://v.douyin.com/vwJg6pN66y0/","https://v.douyin.com/vwJg6pN66y0/3@0.com")</f>
        <v>https://v.douyin.com/vwJg6pN66y0/3@0.com</v>
      </c>
    </row>
  </sheetData>
  <conditionalFormatting sqref="A7">
    <cfRule type="cellIs" dxfId="0" priority="1" operator="equal">
      <formula>"流量变现培训案例"</formula>
    </cfRule>
  </conditionalFormatting>
  <conditionalFormatting sqref="A2:A6 A8:A1048576">
    <cfRule type="cellIs" dxfId="0" priority="2" operator="equal">
      <formula>"流量变现培训案例"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.64285714285714" defaultRowHeight="16.8" outlineLevelCol="2"/>
  <cols>
    <col min="1" max="3" width="19" customWidth="1"/>
  </cols>
  <sheetData>
    <row r="1" ht="13" customHeight="1" spans="1:3">
      <c r="A1" s="1" t="s">
        <v>297</v>
      </c>
      <c r="B1" s="1" t="s">
        <v>298</v>
      </c>
      <c r="C1" s="1" t="s">
        <v>299</v>
      </c>
    </row>
    <row r="2" ht="63.75" customHeight="1" spans="1:3">
      <c r="A2" t="s">
        <v>300</v>
      </c>
      <c r="B2" t="s">
        <v>301</v>
      </c>
      <c r="C2" t="s">
        <v>302</v>
      </c>
    </row>
    <row r="3" ht="63.75" customHeight="1" spans="1:3">
      <c r="A3" t="s">
        <v>303</v>
      </c>
      <c r="B3" t="s">
        <v>304</v>
      </c>
      <c r="C3" t="s">
        <v>305</v>
      </c>
    </row>
    <row r="4" ht="63.75" customHeight="1" spans="1:3">
      <c r="A4" t="s">
        <v>306</v>
      </c>
      <c r="B4" t="s">
        <v>307</v>
      </c>
      <c r="C4" t="s">
        <v>308</v>
      </c>
    </row>
    <row r="5" ht="63.75" customHeight="1" spans="1:3">
      <c r="A5" t="s">
        <v>309</v>
      </c>
      <c r="B5" t="s">
        <v>310</v>
      </c>
      <c r="C5" t="s">
        <v>311</v>
      </c>
    </row>
    <row r="6" ht="63.75" customHeight="1" spans="1:3">
      <c r="A6" t="s">
        <v>106</v>
      </c>
      <c r="B6" t="s">
        <v>312</v>
      </c>
      <c r="C6" t="s">
        <v>313</v>
      </c>
    </row>
    <row r="7" ht="63.75" customHeight="1" spans="1:3">
      <c r="A7" t="s">
        <v>314</v>
      </c>
      <c r="B7" t="s">
        <v>315</v>
      </c>
      <c r="C7" t="s">
        <v>316</v>
      </c>
    </row>
    <row r="8" ht="63.75" customHeight="1" spans="1:3">
      <c r="A8" t="s">
        <v>317</v>
      </c>
      <c r="B8" t="s">
        <v>318</v>
      </c>
      <c r="C8" t="s">
        <v>319</v>
      </c>
    </row>
    <row r="9" ht="63.75" customHeight="1" spans="1:3">
      <c r="A9" t="s">
        <v>320</v>
      </c>
      <c r="B9" t="s">
        <v>321</v>
      </c>
      <c r="C9" t="s">
        <v>322</v>
      </c>
    </row>
    <row r="10" ht="63.75" customHeight="1" spans="1:3">
      <c r="A10" t="s">
        <v>323</v>
      </c>
      <c r="B10" t="s">
        <v>324</v>
      </c>
      <c r="C10" t="s">
        <v>322</v>
      </c>
    </row>
    <row r="11" ht="63.75" customHeight="1" spans="1:3">
      <c r="A11" t="s">
        <v>325</v>
      </c>
      <c r="B11" t="s">
        <v>326</v>
      </c>
      <c r="C11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“纵合”案例</vt:lpstr>
      <vt:lpstr>“纵合”成员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wakes</cp:lastModifiedBy>
  <dcterms:created xsi:type="dcterms:W3CDTF">2006-09-16T16:00:00Z</dcterms:created>
  <dcterms:modified xsi:type="dcterms:W3CDTF">2026-04-01T16:54:08Z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118A3A08CB346C29D28ACC69D9C38725_42</vt:lpwstr>
  </property>
</Properties>
</file>